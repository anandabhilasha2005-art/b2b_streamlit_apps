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mandeep.a.kaur\Documents\B2B Agentic Screens Demo - Existing Customers\b2b_leadmanagement_ec\"/>
    </mc:Choice>
  </mc:AlternateContent>
  <xr:revisionPtr revIDLastSave="0" documentId="13_ncr:1_{6397C7B6-D013-4209-9EDB-3C7993368F7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commendations" sheetId="1" r:id="rId1"/>
    <sheet name="Summary Dashboard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5" i="1"/>
</calcChain>
</file>

<file path=xl/sharedStrings.xml><?xml version="1.0" encoding="utf-8"?>
<sst xmlns="http://schemas.openxmlformats.org/spreadsheetml/2006/main" count="332" uniqueCount="195">
  <si>
    <t>AI Product Recommendations — Up-sell &amp; Cross-sell Opportunities</t>
  </si>
  <si>
    <t>Personalised product recommendations ranked by fit score — 1 row per recommendation, grouped by account</t>
  </si>
  <si>
    <t>Account ID</t>
  </si>
  <si>
    <t>Account Name</t>
  </si>
  <si>
    <t>Industry</t>
  </si>
  <si>
    <t>Priority</t>
  </si>
  <si>
    <t>Recommendation #</t>
  </si>
  <si>
    <t>Product</t>
  </si>
  <si>
    <t>Fit Score</t>
  </si>
  <si>
    <t>Category</t>
  </si>
  <si>
    <t>Type</t>
  </si>
  <si>
    <t>Key Trigger</t>
  </si>
  <si>
    <t>Insight &amp; Rationale</t>
  </si>
  <si>
    <t>Capability Flags</t>
  </si>
  <si>
    <t>IronBuild Infrastructure</t>
  </si>
  <si>
    <t>Construction</t>
  </si>
  <si>
    <t>High</t>
  </si>
  <si>
    <t>#1</t>
  </si>
  <si>
    <t>Adaptive Networks</t>
  </si>
  <si>
    <t>86%</t>
  </si>
  <si>
    <t>Networks</t>
  </si>
  <si>
    <t>Cross-sell</t>
  </si>
  <si>
    <t>8-site expansion to 10+</t>
  </si>
  <si>
    <t>85% Internet util + SD-WAN on 6/8 sites. Multi-site resilience, dynamic bandwidth, unified security.</t>
  </si>
  <si>
    <t>Multi-site, Business Continuity, Security, Flexibility</t>
  </si>
  <si>
    <t>#2</t>
  </si>
  <si>
    <t>SD-WAN Expansion</t>
  </si>
  <si>
    <t>82%</t>
  </si>
  <si>
    <t>Up-sell</t>
  </si>
  <si>
    <t>SD-WAN on 6/8 sites only</t>
  </si>
  <si>
    <t>Standardise SD-WAN coverage across all sites. 85% utilisation signals capacity headroom needed.</t>
  </si>
  <si>
    <t>Multi-site, Bandwidth, Security</t>
  </si>
  <si>
    <t>#3</t>
  </si>
  <si>
    <t>IoT Solutions</t>
  </si>
  <si>
    <t>74%</t>
  </si>
  <si>
    <t>Internet of Things</t>
  </si>
  <si>
    <t>Construction equipment tracking</t>
  </si>
  <si>
    <t>Zero IoT today — greenfield. Real-time asset visibility, geofencing, theft alerts across 8+ project sites.</t>
  </si>
  <si>
    <t>IoT, Cloud-ready, Security</t>
  </si>
  <si>
    <t>ACC002</t>
  </si>
  <si>
    <t>BlueHarbor Logistics</t>
  </si>
  <si>
    <t>Transport &amp; Logistics</t>
  </si>
  <si>
    <t>Medium</t>
  </si>
  <si>
    <t>Enterprise Mobility Plans</t>
  </si>
  <si>
    <t>71%</t>
  </si>
  <si>
    <t>Mobility Solutions</t>
  </si>
  <si>
    <t>75 mobile lines, fleet growing</t>
  </si>
  <si>
    <t>Consolidate into Enterprise shared data pool as driver count grows 75→120–150.</t>
  </si>
  <si>
    <t>Mobility, Remote Work, 5G</t>
  </si>
  <si>
    <t>63%</t>
  </si>
  <si>
    <t>Cold chain logistics fleet</t>
  </si>
  <si>
    <t>Telematics for 50+ refrigerated trucks — temperature compliance, fuel efficiency, route optimisation.</t>
  </si>
  <si>
    <t>ACC003</t>
  </si>
  <si>
    <t>SouthernGrid Energy</t>
  </si>
  <si>
    <t>Energy</t>
  </si>
  <si>
    <t>78%</t>
  </si>
  <si>
    <t>19-site critical infrastructure</t>
  </si>
  <si>
    <t>99.999% uptime SLA for national energy grid SCADA/OT. Carrier diversity + automated failover.</t>
  </si>
  <si>
    <t>Managed Security Monitoring</t>
  </si>
  <si>
    <t>68%</t>
  </si>
  <si>
    <t>Security</t>
  </si>
  <si>
    <t>High-risk critical infrastructure</t>
  </si>
  <si>
    <t>Visibility and compliance across distributed critical infrastructure.</t>
  </si>
  <si>
    <t>Security, Business Continuity</t>
  </si>
  <si>
    <t>Incident Response Readiness</t>
  </si>
  <si>
    <t>62%</t>
  </si>
  <si>
    <t>Regulatory &amp; exec assurance</t>
  </si>
  <si>
    <t>No formal incident response capability. Nation-state / ransomware risk on OT systems.</t>
  </si>
  <si>
    <t>Security, Business Continuity, Cost Optimized</t>
  </si>
  <si>
    <t>ACC004</t>
  </si>
  <si>
    <t>ApexHealth Clinics</t>
  </si>
  <si>
    <t>Healthcare</t>
  </si>
  <si>
    <t>Calling &amp; Collaboration</t>
  </si>
  <si>
    <t>84%</t>
  </si>
  <si>
    <t>Unified Communications</t>
  </si>
  <si>
    <t>9-site healthcare communication</t>
  </si>
  <si>
    <t>Seamless PSTN + Microsoft Teams for nursing, admin, telehealth. Eliminates fragmented phone systems.</t>
  </si>
  <si>
    <t>UC/CC, Remote Work, Mobility, Security</t>
  </si>
  <si>
    <t>Cloud Solutions</t>
  </si>
  <si>
    <t>73%</t>
  </si>
  <si>
    <t>Cloud</t>
  </si>
  <si>
    <t>Healthcare regulatory compliance</t>
  </si>
  <si>
    <t>EHR &amp; patient systems migration to HIPAA-compliant Azure. Zero cloud today — greenfield.</t>
  </si>
  <si>
    <t>Cloud-ready, Security, Business Continuity</t>
  </si>
  <si>
    <t>ACC005</t>
  </si>
  <si>
    <t>HorizonAgri Advisory</t>
  </si>
  <si>
    <t>Agriculture</t>
  </si>
  <si>
    <t>Low</t>
  </si>
  <si>
    <t>Business Broadband</t>
  </si>
  <si>
    <t>57%</t>
  </si>
  <si>
    <t>Field ops bandwidth needs</t>
  </si>
  <si>
    <t>Upgrade 100→250 Mbps symmetrical for field data uploads (drone imagery, soil samples) and video consults.</t>
  </si>
  <si>
    <t>Business Continuity, Cost Optimized, Remote Work</t>
  </si>
  <si>
    <t>ACC006</t>
  </si>
  <si>
    <t>NovaTech Industrial</t>
  </si>
  <si>
    <t>Manufacturing</t>
  </si>
  <si>
    <t>SD-WAN Global Consolidation</t>
  </si>
  <si>
    <t>83%</t>
  </si>
  <si>
    <t>17-site global WAN legacy</t>
  </si>
  <si>
    <t>Retire legacy Optus MPLS/WAN → unified SD-WAN. 99.99% uptime, app-aware routing. 30–40% WAN cost reduction.</t>
  </si>
  <si>
    <t>Multi-site, Business Continuity, Security, Bandwidth</t>
  </si>
  <si>
    <t>Cloud Advisory</t>
  </si>
  <si>
    <t>77%</t>
  </si>
  <si>
    <t>Multi-cloud manufacturing workloads</t>
  </si>
  <si>
    <t>SAP S/4HANA + industrial IoT migration to AWS/Azure. Private connectivity with &lt;5ms latency.</t>
  </si>
  <si>
    <t>Cloud-ready, Security, Cost Optimized</t>
  </si>
  <si>
    <t>60%</t>
  </si>
  <si>
    <t>Global OT/IT risk exposure</t>
  </si>
  <si>
    <t>Threat modelling, breach simulation, executive tabletop exercises for industrial control systems.</t>
  </si>
  <si>
    <t>ACC007</t>
  </si>
  <si>
    <t>CoastalBuild Projects</t>
  </si>
  <si>
    <t>79%</t>
  </si>
  <si>
    <t>Temporary construction sites</t>
  </si>
  <si>
    <t>Instant wireless for 4+ active sites — rapid setup/teardown aligned to 12–18 month project cycles. No lock-in.</t>
  </si>
  <si>
    <t>Multi-site, Flexibility, Mobility, Business Continuity</t>
  </si>
  <si>
    <t>66%</t>
  </si>
  <si>
    <t>Construction tool &amp; equipment theft</t>
  </si>
  <si>
    <t>Bluetooth/LTE asset tags for power tools, scaffolding, generators. Reduce $50K–$80K/yr theft losses.</t>
  </si>
  <si>
    <t>ACC008</t>
  </si>
  <si>
    <t>MetroServe Financial</t>
  </si>
  <si>
    <t>Financial Services</t>
  </si>
  <si>
    <t>72%</t>
  </si>
  <si>
    <t>Mobile consultant workforce</t>
  </si>
  <si>
    <t>Shared data pool for 80+ consultants travelling to client sites. Enterprise BYOD + expense management.</t>
  </si>
  <si>
    <t>65%</t>
  </si>
  <si>
    <t>Hybrid client meetings</t>
  </si>
  <si>
    <t>Premium Teams calling — noise cancellation, recording, transcription. CRM integration with Salesforce.</t>
  </si>
  <si>
    <t>UC/CC, Remote Work, Security</t>
  </si>
  <si>
    <t>TerraLink Mining</t>
  </si>
  <si>
    <t>Mining</t>
  </si>
  <si>
    <t>88%</t>
  </si>
  <si>
    <t>IoT Platform</t>
  </si>
  <si>
    <t>Autonomous mining equipment</t>
  </si>
  <si>
    <t>Scale from 650→2,000+ sensors on haul trucks, drills, conveyors. Unified IoT dashboard + predictive maintenance.</t>
  </si>
  <si>
    <t>Real-time mining analytics</t>
  </si>
  <si>
    <t>On-prem IoT analytics → scalable Azure cloud with edge compute for &lt;20ms latency production dashboards.</t>
  </si>
  <si>
    <t>Cloud-ready, Security, Bandwidth</t>
  </si>
  <si>
    <t>ACC010</t>
  </si>
  <si>
    <t>EduCore Learning</t>
  </si>
  <si>
    <t>Education</t>
  </si>
  <si>
    <t>55%</t>
  </si>
  <si>
    <t>Digital classroom expansion</t>
  </si>
  <si>
    <t>Upgrade 100→500 Mbps for 50–100 concurrent students, live-streamed training, cloud LMS performance.</t>
  </si>
  <si>
    <t>52%</t>
  </si>
  <si>
    <t>Student &amp; parent communication</t>
  </si>
  <si>
    <t>Business phone system with auto-attendant, voicemail-to-email, call routing for admin and teaching staff.</t>
  </si>
  <si>
    <t>UC/CC, Remote Work, Cost Optimized</t>
  </si>
  <si>
    <t>Recommendation Summary</t>
  </si>
  <si>
    <t>10</t>
  </si>
  <si>
    <t>23</t>
  </si>
  <si>
    <t>2</t>
  </si>
  <si>
    <t>11</t>
  </si>
  <si>
    <t>12</t>
  </si>
  <si>
    <t>Total Accounts</t>
  </si>
  <si>
    <t>Total Recommendations</t>
  </si>
  <si>
    <t>Star Accounts</t>
  </si>
  <si>
    <t>Up-sell Opps</t>
  </si>
  <si>
    <t>Cross-sell Opps</t>
  </si>
  <si>
    <t>Recommendations by Category</t>
  </si>
  <si>
    <t>Count</t>
  </si>
  <si>
    <t>Avg Fit Score</t>
  </si>
  <si>
    <t>0.76</t>
  </si>
  <si>
    <t>0.69</t>
  </si>
  <si>
    <t>0.63</t>
  </si>
  <si>
    <t>0.67</t>
  </si>
  <si>
    <t>0.70</t>
  </si>
  <si>
    <t>0.71</t>
  </si>
  <si>
    <t>FTE Size</t>
  </si>
  <si>
    <t>City / State</t>
  </si>
  <si>
    <t>ACC001</t>
  </si>
  <si>
    <t>ACC009</t>
  </si>
  <si>
    <t>Intent_Badge</t>
  </si>
  <si>
    <t>Insight &amp; Rationale (old)</t>
  </si>
  <si>
    <t>&lt;ul&gt;&lt;li&gt;Expansion and partnership activity across multiple construction sites&lt;/li&gt;&lt;li&gt;Strong networking intent around site connectivity and scalability&lt;/li&gt;&lt;li&gt;8 AU sites and Very High spend potential&lt;/li&gt;&lt;/ul&gt;</t>
  </si>
  <si>
    <t>&lt;ul&gt;&lt;li&gt;Explicit SD-WAN optimisation and bandwidth expansion intent&lt;/li&gt;&lt;li&gt;Need for centralized control across distributed sites&lt;/li&gt;&lt;li&gt;Expansion and hiring signals indicate growing network demand&lt;/li&gt;&lt;/ul&gt;</t>
  </si>
  <si>
    <t>&lt;ul&gt;&lt;li&gt;Active evaluation of asset monitoring and remote telemetry&lt;/li&gt;&lt;li&gt;Construction use cases require connected equipment and devices&lt;/li&gt;&lt;li&gt;IoT &amp;amp; Edge intent score of 72&lt;/li&gt;&lt;/ul&gt;</t>
  </si>
  <si>
    <t>&lt;ul&gt;&lt;li&gt;Peer-led adoption of mobility solutions in logistics sector&lt;/li&gt;&lt;li&gt;Active mobility footprint supporting fleet and field operations&lt;/li&gt;&lt;li&gt;Cold-chain and regional freight use cases&lt;/li&gt;&lt;/ul&gt;</t>
  </si>
  <si>
    <t>&lt;ul&gt;&lt;li&gt;Industry trend toward cold-chain monitoring and compliance&lt;/li&gt;&lt;li&gt;IoT enables asset tracking and temperature visibility&lt;/li&gt;&lt;li&gt;Transport &amp;amp; logistics peer benchmarks&lt;/li&gt;&lt;/ul&gt;</t>
  </si>
  <si>
    <t>&lt;ul&gt;&lt;li&gt;High demand for resilient, high-availability utility networks&lt;/li&gt;&lt;li&gt;Digital infrastructure and network resilience intent&lt;/li&gt;&lt;li&gt;19 global sites supporting national grid operations&lt;/li&gt;&lt;/ul&gt;</t>
  </si>
  <si>
    <t>&lt;ul&gt;&lt;li&gt;Explicit security intent and compliance requirements&lt;/li&gt;&lt;li&gt;Increased cyber exposure in critical infrastructure sector&lt;/li&gt;&lt;li&gt;Acquisition activity increases security complexity&lt;/li&gt;&lt;/ul&gt;</t>
  </si>
  <si>
    <t>&lt;ul&gt;&lt;li&gt;Business continuity and disaster recovery focus&lt;/li&gt;&lt;li&gt;Need for structured response to cyber incidents&lt;/li&gt;&lt;li&gt;Business Continuity intent score of 80&lt;/li&gt;&lt;/ul&gt;</t>
  </si>
  <si>
    <t>&lt;ul&gt;&lt;li&gt;Strong collaboration and UC intent across clinics&lt;/li&gt;&lt;li&gt;Multi-site healthcare operations require reliable voice and video&lt;/li&gt;&lt;li&gt;UC intent score of 75&lt;/li&gt;&lt;/ul&gt;</t>
  </si>
  <si>
    <t>&lt;ul&gt;&lt;li&gt;Ongoing modernization of clinical systems&lt;/li&gt;&lt;li&gt;Cloud enables scalable and compliant healthcare workloads&lt;/li&gt;&lt;li&gt;Networking and security intent supports cloud adoption&lt;/li&gt;&lt;/ul&gt;</t>
  </si>
  <si>
    <t>&lt;ul&gt;&lt;li&gt;Limited digital maturity and low complexity requirements&lt;/li&gt;&lt;li&gt;Peer-led adoption of basic connectivity in agriculture advisory&lt;/li&gt;&lt;li&gt;Small footprint with 2 sites&lt;/li&gt;&lt;/ul&gt;</t>
  </si>
  <si>
    <t>&lt;ul&gt;&lt;li&gt;Enterprise-wide digital transformation initiatives&lt;/li&gt;&lt;li&gt;Multi-site global manufacturing footprint&lt;/li&gt;&lt;li&gt;Digital infrastructure intent score of 94&lt;/li&gt;&lt;/ul&gt;</t>
  </si>
  <si>
    <t>&lt;ul&gt;&lt;li&gt;Strong cloud and data intent across the organization&lt;/li&gt;&lt;li&gt;Need for structured multi-cloud strategy&lt;/li&gt;&lt;li&gt;Cloud &amp;amp; Data intent score of 90&lt;/li&gt;&lt;/ul&gt;</t>
  </si>
  <si>
    <t>&lt;ul&gt;&lt;li&gt;Elevated security exposure due to scale and complexity&lt;/li&gt;&lt;li&gt;Zero Trust and cloud security focus&lt;/li&gt;&lt;li&gt;Security intent score of 88&lt;/li&gt;&lt;/ul&gt;</t>
  </si>
  <si>
    <t>&lt;ul&gt;&lt;li&gt;Project-driven networking needs for temporary sites&lt;/li&gt;&lt;li&gt;Rapid deployment and flexible connectivity requirements&lt;/li&gt;&lt;li&gt;Networking intent score of 60&lt;/li&gt;&lt;/ul&gt;</t>
  </si>
  <si>
    <t>&lt;ul&gt;&lt;li&gt;Emerging use of connected devices at construction sites&lt;/li&gt;&lt;li&gt;Supports monitoring and operational visibility&lt;/li&gt;&lt;li&gt;Construction sector IoT adoption trend&lt;/li&gt;&lt;/ul&gt;</t>
  </si>
  <si>
    <t>&lt;ul&gt;&lt;li&gt;Peer-led shift toward hybrid consulting models&lt;/li&gt;&lt;li&gt;Mobile workforce requires secure and flexible connectivity&lt;/li&gt;&lt;li&gt;Active UCaaS and mobility footprint&lt;/li&gt;&lt;/ul&gt;</t>
  </si>
  <si>
    <t>&lt;ul&gt;&lt;li&gt;Collaboration upgrades driven by industry peers&lt;/li&gt;&lt;li&gt;Supports client engagement and hybrid work&lt;/li&gt;&lt;li&gt;Financial services collaboration trend&lt;/li&gt;&lt;/ul&gt;</t>
  </si>
  <si>
    <t>&lt;ul&gt;&lt;li&gt;Fleet monitoring and telemetry scaling across sites&lt;/li&gt;&lt;li&gt;IoT &amp;amp; Edge intent score of 82&lt;/li&gt;&lt;li&gt;Mining operations and field services use case&lt;/li&gt;&lt;/ul&gt;</t>
  </si>
  <si>
    <t>&lt;ul&gt;&lt;li&gt;Need to process and analyze operational data centrally&lt;/li&gt;&lt;li&gt;Supports integration of IoT and analytics workloads&lt;/li&gt;&lt;li&gt;Explicit digital infrastructure intent&lt;/li&gt;&lt;/ul&gt;</t>
  </si>
  <si>
    <t>&lt;ul&gt;&lt;li&gt;Small footprint with basic connectivity requirements&lt;/li&gt;&lt;li&gt;Peer-led investment in bandwidth upgrades&lt;/li&gt;&lt;li&gt;Entry-level digital maturity&lt;/li&gt;&lt;/ul&gt;</t>
  </si>
  <si>
    <t>&lt;ul&gt;&lt;li&gt;Education peers adopting basic collaboration tools&lt;/li&gt;&lt;li&gt;Supports remote and hybrid learning models&lt;/li&gt;&lt;li&gt;Low complexity environment&lt;/li&gt;&lt;/ul&gt;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</si>
</sst>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8"/>
      <color rgb="FF6B00B8"/>
      <name val="Arial"/>
      <family val="2"/>
    </font>
    <font>
      <sz val="10"/>
      <color rgb="FF6B7280"/>
      <name val="Arial"/>
      <family val="2"/>
    </font>
    <font>
      <b/>
      <sz val="10"/>
      <color rgb="FFFFFFFF"/>
      <name val="Arial"/>
      <family val="2"/>
    </font>
    <font>
      <sz val="9"/>
      <color rgb="FF1F2937"/>
      <name val="Arial"/>
      <family val="2"/>
    </font>
    <font>
      <b/>
      <sz val="9"/>
      <color rgb="FFEA580C"/>
      <name val="Arial"/>
      <family val="2"/>
    </font>
    <font>
      <b/>
      <sz val="9"/>
      <color rgb="FF4338CA"/>
      <name val="Arial"/>
      <family val="2"/>
    </font>
    <font>
      <b/>
      <sz val="9"/>
      <color rgb="FF15803D"/>
      <name val="Arial"/>
      <family val="2"/>
    </font>
    <font>
      <b/>
      <sz val="9"/>
      <color rgb="FF92400E"/>
      <name val="Arial"/>
      <family val="2"/>
    </font>
    <font>
      <b/>
      <sz val="9"/>
      <color rgb="FF2563EB"/>
      <name val="Arial"/>
      <family val="2"/>
    </font>
    <font>
      <b/>
      <sz val="9"/>
      <color rgb="FF059669"/>
      <name val="Arial"/>
      <family val="2"/>
    </font>
    <font>
      <b/>
      <sz val="9"/>
      <color rgb="FFCA8A04"/>
      <name val="Arial"/>
      <family val="2"/>
    </font>
    <font>
      <b/>
      <sz val="9"/>
      <color rgb="FFDC2626"/>
      <name val="Arial"/>
      <family val="2"/>
    </font>
    <font>
      <b/>
      <sz val="9"/>
      <color rgb="FF16A34A"/>
      <name val="Arial"/>
      <family val="2"/>
    </font>
    <font>
      <b/>
      <sz val="9"/>
      <color rgb="FF6B21A8"/>
      <name val="Arial"/>
      <family val="2"/>
    </font>
    <font>
      <b/>
      <sz val="22"/>
      <color rgb="FF6B00B8"/>
      <name val="Arial"/>
      <family val="2"/>
    </font>
    <font>
      <sz val="9"/>
      <color rgb="FF6B7280"/>
      <name val="Arial"/>
      <family val="2"/>
    </font>
    <font>
      <b/>
      <sz val="12"/>
      <color rgb="FF6B00B8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 Unicode MS"/>
    </font>
  </fonts>
  <fills count="18">
    <fill>
      <patternFill patternType="none"/>
    </fill>
    <fill>
      <patternFill patternType="gray125"/>
    </fill>
    <fill>
      <patternFill patternType="solid">
        <fgColor rgb="FF6B00B8"/>
      </patternFill>
    </fill>
    <fill>
      <patternFill patternType="solid">
        <fgColor rgb="FFFFFBEB"/>
      </patternFill>
    </fill>
    <fill>
      <patternFill patternType="solid">
        <fgColor rgb="FFFFEDD5"/>
      </patternFill>
    </fill>
    <fill>
      <patternFill patternType="solid">
        <fgColor rgb="FFEEF2FF"/>
      </patternFill>
    </fill>
    <fill>
      <patternFill patternType="solid">
        <fgColor rgb="FFF0FDF4"/>
      </patternFill>
    </fill>
    <fill>
      <patternFill patternType="solid">
        <fgColor rgb="FFDCFCE7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EF9C3"/>
      </patternFill>
    </fill>
    <fill>
      <patternFill patternType="solid">
        <fgColor rgb="FFFAFAFA"/>
      </patternFill>
    </fill>
    <fill>
      <patternFill patternType="solid">
        <fgColor rgb="FFFEFCE8"/>
      </patternFill>
    </fill>
    <fill>
      <patternFill patternType="solid">
        <fgColor rgb="FFFFF7ED"/>
      </patternFill>
    </fill>
    <fill>
      <patternFill patternType="solid">
        <fgColor rgb="FFFFFFFF"/>
      </patternFill>
    </fill>
    <fill>
      <patternFill patternType="solid">
        <fgColor rgb="FFFEF2F2"/>
      </patternFill>
    </fill>
    <fill>
      <patternFill patternType="solid">
        <fgColor rgb="FFEDE9FE"/>
      </patternFill>
    </fill>
    <fill>
      <patternFill patternType="solid">
        <fgColor rgb="FFDBEAFE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F59E0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0" borderId="0" xfId="0" applyFont="1"/>
    <xf numFmtId="0" fontId="6" fillId="5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10" fillId="9" borderId="1" xfId="0" applyFont="1" applyFill="1" applyBorder="1"/>
    <xf numFmtId="0" fontId="12" fillId="15" borderId="1" xfId="0" applyFont="1" applyFill="1" applyBorder="1"/>
    <xf numFmtId="0" fontId="9" fillId="8" borderId="1" xfId="0" applyFont="1" applyFill="1" applyBorder="1"/>
    <xf numFmtId="0" fontId="7" fillId="6" borderId="1" xfId="0" applyFont="1" applyFill="1" applyBorder="1"/>
    <xf numFmtId="0" fontId="5" fillId="13" borderId="1" xfId="0" applyFont="1" applyFill="1" applyBorder="1"/>
    <xf numFmtId="0" fontId="4" fillId="14" borderId="3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mandeep.a.kaur\Documents\B2B%20Agentic%20Screens%20Demo%20-%20Existing%20Customers\05_Feb\account_summary.xlsx" TargetMode="External"/><Relationship Id="rId1" Type="http://schemas.openxmlformats.org/officeDocument/2006/relationships/externalLinkPath" Target="account_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ount Overview"/>
      <sheetName val="Products &amp; Intent"/>
      <sheetName val="Complete"/>
      <sheetName val="Sheet1"/>
      <sheetName val="Growth Signals"/>
    </sheetNames>
    <sheetDataSet>
      <sheetData sheetId="0"/>
      <sheetData sheetId="1"/>
      <sheetData sheetId="2">
        <row r="1">
          <cell r="B1" t="str">
            <v>Account Name</v>
          </cell>
          <cell r="C1" t="str">
            <v>City / State</v>
          </cell>
          <cell r="D1" t="str">
            <v>Industry</v>
          </cell>
          <cell r="E1" t="str">
            <v>Sub-Industry</v>
          </cell>
          <cell r="F1" t="str">
            <v>FTE Size</v>
          </cell>
          <cell r="G1" t="str">
            <v>Revenue Range</v>
          </cell>
          <cell r="H1" t="str">
            <v>AU Sites</v>
          </cell>
          <cell r="I1" t="str">
            <v>Global Sites</v>
          </cell>
          <cell r="J1" t="str">
            <v>Priority Score</v>
          </cell>
          <cell r="K1" t="str">
            <v>Priority Label</v>
          </cell>
          <cell r="L1" t="str">
            <v>Total TCV</v>
          </cell>
          <cell r="M1" t="str">
            <v>TCV Growth (3Yr)</v>
          </cell>
          <cell r="N1" t="str">
            <v>Share of Wallet</v>
          </cell>
          <cell r="O1" t="str">
            <v>Spend Potential Tier</v>
          </cell>
          <cell r="P1" t="str">
            <v>Active Products</v>
          </cell>
          <cell r="Q1" t="str">
            <v>Renewal_Due_Next_180Days</v>
          </cell>
          <cell r="R1" t="str">
            <v>Intent Domain 1</v>
          </cell>
          <cell r="S1" t="str">
            <v>Score 1</v>
          </cell>
          <cell r="T1" t="str">
            <v>Keyword 1</v>
          </cell>
          <cell r="U1" t="str">
            <v>Intent Domain 2</v>
          </cell>
          <cell r="V1" t="str">
            <v>Score 2</v>
          </cell>
          <cell r="W1" t="str">
            <v>Keyword 2</v>
          </cell>
          <cell r="X1" t="str">
            <v>Intent Domain 3</v>
          </cell>
          <cell r="Y1" t="str">
            <v>Score 3</v>
          </cell>
          <cell r="Z1" t="str">
            <v>Keyword 3</v>
          </cell>
          <cell r="AA1" t="str">
            <v>Intent_Badge</v>
          </cell>
        </row>
        <row r="2">
          <cell r="B2" t="str">
            <v>IronBuild Infrastructure</v>
          </cell>
          <cell r="C2" t="str">
            <v>Newcastle, NSW</v>
          </cell>
          <cell r="D2" t="str">
            <v>Construction</v>
          </cell>
          <cell r="E2" t="str">
            <v>Infrastructure &amp; Civil Projects</v>
          </cell>
          <cell r="F2" t="str">
            <v>500–1000</v>
          </cell>
          <cell r="G2" t="str">
            <v>$100M–$250M</v>
          </cell>
          <cell r="H2">
            <v>8</v>
          </cell>
          <cell r="I2">
            <v>8</v>
          </cell>
          <cell r="J2">
            <v>0.82</v>
          </cell>
          <cell r="K2" t="str">
            <v>High</v>
          </cell>
          <cell r="L2" t="str">
            <v>450K</v>
          </cell>
          <cell r="M2" t="str">
            <v>61%</v>
          </cell>
          <cell r="N2" t="str">
            <v>2.0%</v>
          </cell>
          <cell r="O2" t="str">
            <v>Very High</v>
          </cell>
          <cell r="P2" t="str">
            <v>Business Internet, SDWAN, Mobility</v>
          </cell>
          <cell r="Q2" t="str">
            <v>Mobility</v>
          </cell>
          <cell r="R2" t="str">
            <v>Networking</v>
          </cell>
          <cell r="S2">
            <v>85</v>
          </cell>
          <cell r="T2" t="str">
            <v>SD-WAN optimisation, Ethernet networking, bandwidth expansion, network modernisation, site connectivity</v>
          </cell>
          <cell r="U2" t="str">
            <v>IoT &amp; Edge</v>
          </cell>
          <cell r="V2">
            <v>72</v>
          </cell>
          <cell r="W2" t="str">
            <v>IoT networks, asset monitoring, edge connectivity, device management, remote telemetry</v>
          </cell>
          <cell r="X2" t="str">
            <v>Security</v>
          </cell>
          <cell r="Y2">
            <v>68</v>
          </cell>
          <cell r="Z2" t="str">
            <v>network security, secure SD-WAN, threat protection, firewall upgrades, perimeter security</v>
          </cell>
          <cell r="AA2" t="str">
            <v>Explicit</v>
          </cell>
        </row>
        <row r="3">
          <cell r="B3" t="str">
            <v>BlueHarbor Logistics</v>
          </cell>
          <cell r="C3" t="str">
            <v>Fremantle, WA</v>
          </cell>
          <cell r="D3" t="str">
            <v>Transport &amp; Logistics</v>
          </cell>
          <cell r="E3" t="str">
            <v>Cold Chain &amp; Regional Freight</v>
          </cell>
          <cell r="F3" t="str">
            <v>150–300</v>
          </cell>
          <cell r="G3" t="str">
            <v>$50M–$100M</v>
          </cell>
          <cell r="H3">
            <v>5</v>
          </cell>
          <cell r="I3">
            <v>5</v>
          </cell>
          <cell r="J3">
            <v>0.55000000000000004</v>
          </cell>
          <cell r="K3" t="str">
            <v>Medium</v>
          </cell>
          <cell r="L3" t="str">
            <v>150K</v>
          </cell>
          <cell r="M3" t="str">
            <v>0%</v>
          </cell>
          <cell r="N3" t="str">
            <v>4.7%</v>
          </cell>
          <cell r="O3" t="str">
            <v>Medium</v>
          </cell>
          <cell r="P3" t="str">
            <v>Business Internet, Mobility</v>
          </cell>
          <cell r="Q3"/>
          <cell r="R3" t="str">
            <v>—</v>
          </cell>
          <cell r="S3" t="str">
            <v>—</v>
          </cell>
          <cell r="T3"/>
          <cell r="U3" t="str">
            <v>—</v>
          </cell>
          <cell r="V3" t="str">
            <v>—</v>
          </cell>
          <cell r="W3"/>
          <cell r="X3" t="str">
            <v>—</v>
          </cell>
          <cell r="Y3" t="str">
            <v>—</v>
          </cell>
          <cell r="Z3"/>
          <cell r="AA3" t="str">
            <v>Peer-led</v>
          </cell>
        </row>
        <row r="4">
          <cell r="B4" t="str">
            <v>SouthernGrid Energy</v>
          </cell>
          <cell r="C4" t="str">
            <v>Adelaide, SA</v>
          </cell>
          <cell r="D4" t="str">
            <v>Energy</v>
          </cell>
          <cell r="E4" t="str">
            <v>Utilities &amp; Grid Infrastructure</v>
          </cell>
          <cell r="F4" t="str">
            <v>1000+</v>
          </cell>
          <cell r="G4" t="str">
            <v>$250M–$500M</v>
          </cell>
          <cell r="H4">
            <v>15</v>
          </cell>
          <cell r="I4">
            <v>19</v>
          </cell>
          <cell r="J4">
            <v>0.64</v>
          </cell>
          <cell r="K4" t="str">
            <v>Medium</v>
          </cell>
          <cell r="L4" t="str">
            <v>1.6M</v>
          </cell>
          <cell r="M4" t="str">
            <v>33%</v>
          </cell>
          <cell r="N4" t="str">
            <v>3.3%</v>
          </cell>
          <cell r="O4" t="str">
            <v>Very High</v>
          </cell>
          <cell r="P4" t="str">
            <v>Business Internet, Enterprise Ethernet, SDWAN, Mobility, Security</v>
          </cell>
          <cell r="Q4" t="str">
            <v>Mobility</v>
          </cell>
          <cell r="R4" t="str">
            <v>Digital Infrastructure</v>
          </cell>
          <cell r="S4">
            <v>90</v>
          </cell>
          <cell r="T4" t="str">
            <v>Telecommunications infrastructure, network resilience, high-availability networks, carrier diversity, core networking</v>
          </cell>
          <cell r="U4" t="str">
            <v>Security</v>
          </cell>
          <cell r="V4">
            <v>86</v>
          </cell>
          <cell r="W4" t="str">
            <v>Secure connectivity, cyber analytics, threat monitoring, network security, compliance</v>
          </cell>
          <cell r="X4" t="str">
            <v>Business Continuity</v>
          </cell>
          <cell r="Y4">
            <v>80</v>
          </cell>
          <cell r="Z4" t="str">
            <v>Disaster recovery, network redundancy, failover architecture, continuity planning, resilience testing</v>
          </cell>
          <cell r="AA4" t="str">
            <v>Explicit</v>
          </cell>
        </row>
        <row r="5">
          <cell r="B5" t="str">
            <v>ApexHealth Clinics</v>
          </cell>
          <cell r="C5" t="str">
            <v>Melbourne, VIC</v>
          </cell>
          <cell r="D5" t="str">
            <v>Healthcare</v>
          </cell>
          <cell r="E5" t="str">
            <v>Aged Care &amp; Clinical Services</v>
          </cell>
          <cell r="F5" t="str">
            <v>300–500</v>
          </cell>
          <cell r="G5" t="str">
            <v>$50M–$100M</v>
          </cell>
          <cell r="H5">
            <v>9</v>
          </cell>
          <cell r="I5">
            <v>9</v>
          </cell>
          <cell r="J5">
            <v>0.67</v>
          </cell>
          <cell r="K5" t="str">
            <v>Medium</v>
          </cell>
          <cell r="L5" t="str">
            <v>600K</v>
          </cell>
          <cell r="M5" t="str">
            <v>50%</v>
          </cell>
          <cell r="N5" t="str">
            <v>3.3%</v>
          </cell>
          <cell r="O5" t="str">
            <v>High</v>
          </cell>
          <cell r="P5" t="str">
            <v>Business Internet, SDWAN, UCaaS, Mobility</v>
          </cell>
          <cell r="Q5" t="str">
            <v>Internet</v>
          </cell>
          <cell r="R5" t="str">
            <v>Collaboration &amp; UC</v>
          </cell>
          <cell r="S5">
            <v>75</v>
          </cell>
          <cell r="T5" t="str">
            <v>UCaaS platforms, VoIP, cloud video conferencing, collaboration tools, call quality</v>
          </cell>
          <cell r="U5" t="str">
            <v>Networking</v>
          </cell>
          <cell r="V5">
            <v>68</v>
          </cell>
          <cell r="W5" t="str">
            <v>Network performance, SD-WAN optimisation, bandwidth management, site connectivity, latency reduction</v>
          </cell>
          <cell r="X5" t="str">
            <v>Security</v>
          </cell>
          <cell r="Y5">
            <v>62</v>
          </cell>
          <cell r="Z5" t="str">
            <v>Secure access, identity management, compliance, data protection, zero trust</v>
          </cell>
          <cell r="AA5" t="str">
            <v>Explicit</v>
          </cell>
        </row>
        <row r="6">
          <cell r="B6" t="str">
            <v>HorizonAgri Advisory</v>
          </cell>
          <cell r="C6" t="str">
            <v>Toowoomba, QLD</v>
          </cell>
          <cell r="D6" t="str">
            <v>Agriculture</v>
          </cell>
          <cell r="E6" t="str">
            <v>Agri Consulting &amp; Services</v>
          </cell>
          <cell r="F6" t="str">
            <v>50–150</v>
          </cell>
          <cell r="G6" t="str">
            <v>$10M–$25M</v>
          </cell>
          <cell r="H6">
            <v>2</v>
          </cell>
          <cell r="I6">
            <v>2</v>
          </cell>
          <cell r="J6">
            <v>0.32</v>
          </cell>
          <cell r="K6" t="str">
            <v>Low</v>
          </cell>
          <cell r="L6" t="str">
            <v>50K</v>
          </cell>
          <cell r="M6" t="str">
            <v>0%</v>
          </cell>
          <cell r="N6" t="str">
            <v>11.1%</v>
          </cell>
          <cell r="O6" t="str">
            <v>Low</v>
          </cell>
          <cell r="P6" t="str">
            <v>Business Internet</v>
          </cell>
          <cell r="Q6"/>
          <cell r="R6" t="str">
            <v>—</v>
          </cell>
          <cell r="S6" t="str">
            <v>—</v>
          </cell>
          <cell r="T6"/>
          <cell r="U6" t="str">
            <v>—</v>
          </cell>
          <cell r="V6" t="str">
            <v>—</v>
          </cell>
          <cell r="W6"/>
          <cell r="X6" t="str">
            <v>—</v>
          </cell>
          <cell r="Y6" t="str">
            <v>—</v>
          </cell>
          <cell r="Z6"/>
          <cell r="AA6" t="str">
            <v>Industry-led</v>
          </cell>
        </row>
        <row r="7">
          <cell r="B7" t="str">
            <v>NovaTech Industrial</v>
          </cell>
          <cell r="C7" t="str">
            <v>Geelong, VIC</v>
          </cell>
          <cell r="D7" t="str">
            <v>Manufacturing</v>
          </cell>
          <cell r="E7" t="str">
            <v>Industrial Automation &amp; Equipment</v>
          </cell>
          <cell r="F7" t="str">
            <v>1000+</v>
          </cell>
          <cell r="G7" t="str">
            <v>$500M–$1B</v>
          </cell>
          <cell r="H7">
            <v>12</v>
          </cell>
          <cell r="I7">
            <v>17</v>
          </cell>
          <cell r="J7">
            <v>0.71</v>
          </cell>
          <cell r="K7" t="str">
            <v>High</v>
          </cell>
          <cell r="L7" t="str">
            <v>2.25M</v>
          </cell>
          <cell r="M7" t="str">
            <v>25%</v>
          </cell>
          <cell r="N7" t="str">
            <v>2.4%</v>
          </cell>
          <cell r="O7" t="str">
            <v>Very High</v>
          </cell>
          <cell r="P7" t="str">
            <v>Business Internet, Enterprise Ethernet, SDWAN, Mobility, Cloud, Security</v>
          </cell>
          <cell r="Q7" t="str">
            <v>Internet, Mobility</v>
          </cell>
          <cell r="R7" t="str">
            <v>Digital Infrastructure</v>
          </cell>
          <cell r="S7">
            <v>94</v>
          </cell>
          <cell r="T7" t="str">
            <v>Cloud connectivity, data centre interconnect, high-performance networking, carrier-neutral access, global networks</v>
          </cell>
          <cell r="U7" t="str">
            <v>Cloud &amp; Data</v>
          </cell>
          <cell r="V7">
            <v>90</v>
          </cell>
          <cell r="W7" t="str">
            <v>Multi-cloud networking, workload connectivity, latency optimisation, data transfer efficiency, cloud optimisation</v>
          </cell>
          <cell r="X7" t="str">
            <v>Security</v>
          </cell>
          <cell r="Y7">
            <v>88</v>
          </cell>
          <cell r="Z7" t="str">
            <v>Cloud security, zero trust, secure access, data protection, threat monitoring</v>
          </cell>
          <cell r="AA7" t="str">
            <v>Explicit</v>
          </cell>
        </row>
        <row r="8">
          <cell r="B8" t="str">
            <v>CoastalBuild Projects</v>
          </cell>
          <cell r="C8" t="str">
            <v>Gold Coast, QLD</v>
          </cell>
          <cell r="D8" t="str">
            <v>Construction</v>
          </cell>
          <cell r="E8" t="str">
            <v>Commercial &amp; Mixed-use Development</v>
          </cell>
          <cell r="F8" t="str">
            <v>150–300</v>
          </cell>
          <cell r="G8" t="str">
            <v>$50M–$100M</v>
          </cell>
          <cell r="H8">
            <v>4</v>
          </cell>
          <cell r="I8">
            <v>4</v>
          </cell>
          <cell r="J8">
            <v>0.57999999999999996</v>
          </cell>
          <cell r="K8" t="str">
            <v>Medium</v>
          </cell>
          <cell r="L8" t="str">
            <v>300K</v>
          </cell>
          <cell r="M8" t="str">
            <v>50%</v>
          </cell>
          <cell r="N8" t="str">
            <v>4.0%</v>
          </cell>
          <cell r="O8" t="str">
            <v>Medium</v>
          </cell>
          <cell r="P8" t="str">
            <v>Business Internet, SDWAN, Mobility</v>
          </cell>
          <cell r="Q8"/>
          <cell r="R8" t="str">
            <v>Networking</v>
          </cell>
          <cell r="S8">
            <v>60</v>
          </cell>
          <cell r="T8" t="str">
            <v>Temporary connectivity, rapid deployment networks, wireless backhaul, site setup, short-term bandwidth</v>
          </cell>
          <cell r="U8" t="str">
            <v>—</v>
          </cell>
          <cell r="V8" t="str">
            <v>—</v>
          </cell>
          <cell r="W8"/>
          <cell r="X8" t="str">
            <v>—</v>
          </cell>
          <cell r="Y8" t="str">
            <v>—</v>
          </cell>
          <cell r="Z8"/>
          <cell r="AA8" t="str">
            <v>Explicit</v>
          </cell>
        </row>
        <row r="9">
          <cell r="B9" t="str">
            <v>MetroServe Financial</v>
          </cell>
          <cell r="C9" t="str">
            <v>Sydney, NSW</v>
          </cell>
          <cell r="D9" t="str">
            <v>Financial Services</v>
          </cell>
          <cell r="E9" t="str">
            <v>Business Advisory &amp; Taxation</v>
          </cell>
          <cell r="F9" t="str">
            <v>50–150</v>
          </cell>
          <cell r="G9" t="str">
            <v>$25M–$50M</v>
          </cell>
          <cell r="H9">
            <v>3</v>
          </cell>
          <cell r="I9">
            <v>4</v>
          </cell>
          <cell r="J9">
            <v>0.56000000000000005</v>
          </cell>
          <cell r="K9" t="str">
            <v>Medium</v>
          </cell>
          <cell r="L9" t="str">
            <v>200K</v>
          </cell>
          <cell r="M9" t="str">
            <v>33%</v>
          </cell>
          <cell r="N9" t="str">
            <v>3.3%</v>
          </cell>
          <cell r="O9" t="str">
            <v>Medium</v>
          </cell>
          <cell r="P9" t="str">
            <v>Business Internet, UCaaS, Mobility</v>
          </cell>
          <cell r="Q9" t="str">
            <v>Internet</v>
          </cell>
          <cell r="R9" t="str">
            <v>—</v>
          </cell>
          <cell r="S9" t="str">
            <v>—</v>
          </cell>
          <cell r="T9"/>
          <cell r="U9" t="str">
            <v>—</v>
          </cell>
          <cell r="V9" t="str">
            <v>—</v>
          </cell>
          <cell r="W9"/>
          <cell r="X9" t="str">
            <v>—</v>
          </cell>
          <cell r="Y9" t="str">
            <v>—</v>
          </cell>
          <cell r="Z9"/>
          <cell r="AA9" t="str">
            <v>Peer-led</v>
          </cell>
        </row>
        <row r="10">
          <cell r="B10" t="str">
            <v>TerraLink Mining</v>
          </cell>
          <cell r="C10" t="str">
            <v>Perth, WA</v>
          </cell>
          <cell r="D10" t="str">
            <v>Mining</v>
          </cell>
          <cell r="E10" t="str">
            <v>Mining Operations &amp; Field Services</v>
          </cell>
          <cell r="F10" t="str">
            <v>500–1000</v>
          </cell>
          <cell r="G10" t="str">
            <v>$100M–$250M</v>
          </cell>
          <cell r="H10">
            <v>10</v>
          </cell>
          <cell r="I10">
            <v>12</v>
          </cell>
          <cell r="J10">
            <v>0.75</v>
          </cell>
          <cell r="K10" t="str">
            <v>High</v>
          </cell>
          <cell r="L10" t="str">
            <v>800K</v>
          </cell>
          <cell r="M10" t="str">
            <v>60%</v>
          </cell>
          <cell r="N10" t="str">
            <v>3.1%</v>
          </cell>
          <cell r="O10" t="str">
            <v>High</v>
          </cell>
          <cell r="P10" t="str">
            <v>Business Internet, SDWAN, Mobility, IoT</v>
          </cell>
          <cell r="Q10" t="str">
            <v>Internet, Mobility</v>
          </cell>
          <cell r="R10" t="str">
            <v>IoT &amp; Edge</v>
          </cell>
          <cell r="S10">
            <v>82</v>
          </cell>
          <cell r="T10" t="str">
            <v>Fleet monitoring, connected vehicles, IoT platforms, edge devices, telemetry data</v>
          </cell>
          <cell r="U10" t="str">
            <v>Networking</v>
          </cell>
          <cell r="V10">
            <v>74</v>
          </cell>
          <cell r="W10" t="str">
            <v>Wireless connectivity, resilient networks, bandwidth scaling, remote sites, SD-WAN optimisation</v>
          </cell>
          <cell r="X10" t="str">
            <v>Mobility &amp; Workforce</v>
          </cell>
          <cell r="Y10">
            <v>70</v>
          </cell>
          <cell r="Z10" t="str">
            <v>Mobile networks, field connectivity, SIM management, coverage optimisation</v>
          </cell>
          <cell r="AA10" t="str">
            <v>Explicit</v>
          </cell>
        </row>
        <row r="11">
          <cell r="B11" t="str">
            <v>EduCore Learning</v>
          </cell>
          <cell r="C11" t="str">
            <v>Parramatta, NSW</v>
          </cell>
          <cell r="D11" t="str">
            <v>Education</v>
          </cell>
          <cell r="E11" t="str">
            <v>Vocational &amp; Professional Training</v>
          </cell>
          <cell r="F11" t="str">
            <v>&lt;50</v>
          </cell>
          <cell r="G11" t="str">
            <v>$5M–$10M</v>
          </cell>
          <cell r="H11">
            <v>1</v>
          </cell>
          <cell r="I11">
            <v>1</v>
          </cell>
          <cell r="J11">
            <v>0.28000000000000003</v>
          </cell>
          <cell r="K11" t="str">
            <v>Low</v>
          </cell>
          <cell r="L11" t="str">
            <v>100K</v>
          </cell>
          <cell r="M11" t="str">
            <v>0%</v>
          </cell>
          <cell r="N11" t="str">
            <v>28.6%</v>
          </cell>
          <cell r="O11" t="str">
            <v>Very Low</v>
          </cell>
          <cell r="P11" t="str">
            <v>Business Internet, Mobility</v>
          </cell>
          <cell r="Q11"/>
          <cell r="R11" t="str">
            <v>—</v>
          </cell>
          <cell r="S11" t="str">
            <v>—</v>
          </cell>
          <cell r="T11"/>
          <cell r="U11" t="str">
            <v>—</v>
          </cell>
          <cell r="V11" t="str">
            <v>—</v>
          </cell>
          <cell r="W11"/>
          <cell r="X11" t="str">
            <v>—</v>
          </cell>
          <cell r="Y11" t="str">
            <v>—</v>
          </cell>
          <cell r="Z11"/>
          <cell r="AA11" t="str">
            <v>Industry-led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topLeftCell="A18" workbookViewId="0">
      <selection activeCell="A25" sqref="A25:XFD25"/>
    </sheetView>
  </sheetViews>
  <sheetFormatPr defaultRowHeight="15"/>
  <cols>
    <col min="1" max="14" width="25.7109375" customWidth="1"/>
    <col min="15" max="16" width="58.85546875" bestFit="1" customWidth="1"/>
    <col min="17" max="17" width="26" bestFit="1" customWidth="1"/>
  </cols>
  <sheetData>
    <row r="1" spans="1:17" ht="32.1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7" ht="20.100000000000001" customHeight="1">
      <c r="A2" s="48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4" spans="1:17" ht="21.95" customHeight="1">
      <c r="A4" s="1" t="s">
        <v>2</v>
      </c>
      <c r="B4" s="1" t="s">
        <v>3</v>
      </c>
      <c r="C4" s="1" t="s">
        <v>4</v>
      </c>
      <c r="D4" s="1" t="s">
        <v>167</v>
      </c>
      <c r="E4" s="1" t="s">
        <v>168</v>
      </c>
      <c r="F4" s="1" t="s">
        <v>4</v>
      </c>
      <c r="G4" s="44" t="s">
        <v>171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172</v>
      </c>
      <c r="Q4" s="1" t="s">
        <v>13</v>
      </c>
    </row>
    <row r="5" spans="1:17" ht="51">
      <c r="A5" s="2" t="s">
        <v>169</v>
      </c>
      <c r="B5" s="16" t="s">
        <v>14</v>
      </c>
      <c r="C5" s="16" t="str">
        <f>VLOOKUP(B5,[1]Complete!$B$1:$F$11,3,0)</f>
        <v>Construction</v>
      </c>
      <c r="D5" s="16" t="str">
        <f>VLOOKUP(B5,[1]Complete!$B$1:$F$11,5,0)</f>
        <v>500–1000</v>
      </c>
      <c r="E5" s="16" t="str">
        <f>VLOOKUP(B5,[1]Complete!$B$1:$F$11,2,0)</f>
        <v>Newcastle, NSW</v>
      </c>
      <c r="F5" s="16" t="s">
        <v>15</v>
      </c>
      <c r="G5" s="43" t="str">
        <f>VLOOKUP(B5,[1]Complete!$B$1:$AA$11,26,0)</f>
        <v>Explicit</v>
      </c>
      <c r="H5" s="4" t="s">
        <v>16</v>
      </c>
      <c r="I5" s="16" t="s">
        <v>17</v>
      </c>
      <c r="J5" s="3" t="s">
        <v>18</v>
      </c>
      <c r="K5" s="5" t="s">
        <v>19</v>
      </c>
      <c r="L5" s="6" t="s">
        <v>20</v>
      </c>
      <c r="M5" s="7" t="s">
        <v>21</v>
      </c>
      <c r="N5" s="3" t="s">
        <v>22</v>
      </c>
      <c r="O5" s="45" t="s">
        <v>173</v>
      </c>
      <c r="P5" s="3" t="s">
        <v>23</v>
      </c>
      <c r="Q5" s="3" t="s">
        <v>24</v>
      </c>
    </row>
    <row r="6" spans="1:17" ht="51">
      <c r="A6" s="2" t="s">
        <v>169</v>
      </c>
      <c r="B6" s="11" t="s">
        <v>14</v>
      </c>
      <c r="C6" s="11" t="str">
        <f>VLOOKUP(B6,[1]Complete!$B$1:$F$11,3,0)</f>
        <v>Construction</v>
      </c>
      <c r="D6" s="11" t="str">
        <f>VLOOKUP(B6,[1]Complete!$B$1:$F$11,5,0)</f>
        <v>500–1000</v>
      </c>
      <c r="E6" s="11" t="str">
        <f>VLOOKUP(B6,[1]Complete!$B$1:$F$11,2,0)</f>
        <v>Newcastle, NSW</v>
      </c>
      <c r="F6" s="11" t="s">
        <v>15</v>
      </c>
      <c r="G6" s="43" t="str">
        <f>VLOOKUP(B6,[1]Complete!$B$1:$AA$11,26,0)</f>
        <v>Explicit</v>
      </c>
      <c r="H6" s="4" t="s">
        <v>16</v>
      </c>
      <c r="I6" s="11" t="s">
        <v>25</v>
      </c>
      <c r="J6" s="3" t="s">
        <v>26</v>
      </c>
      <c r="K6" s="5" t="s">
        <v>27</v>
      </c>
      <c r="L6" s="6" t="s">
        <v>20</v>
      </c>
      <c r="M6" s="8" t="s">
        <v>28</v>
      </c>
      <c r="N6" s="3" t="s">
        <v>29</v>
      </c>
      <c r="O6" s="45" t="s">
        <v>174</v>
      </c>
      <c r="P6" s="3" t="s">
        <v>30</v>
      </c>
      <c r="Q6" s="3" t="s">
        <v>31</v>
      </c>
    </row>
    <row r="7" spans="1:17" ht="51">
      <c r="A7" s="2" t="s">
        <v>169</v>
      </c>
      <c r="B7" s="16" t="s">
        <v>14</v>
      </c>
      <c r="C7" s="16" t="str">
        <f>VLOOKUP(B7,[1]Complete!$B$1:$F$11,3,0)</f>
        <v>Construction</v>
      </c>
      <c r="D7" s="16" t="str">
        <f>VLOOKUP(B7,[1]Complete!$B$1:$F$11,5,0)</f>
        <v>500–1000</v>
      </c>
      <c r="E7" s="16" t="str">
        <f>VLOOKUP(B7,[1]Complete!$B$1:$F$11,2,0)</f>
        <v>Newcastle, NSW</v>
      </c>
      <c r="F7" s="16" t="s">
        <v>15</v>
      </c>
      <c r="G7" s="43" t="str">
        <f>VLOOKUP(B7,[1]Complete!$B$1:$AA$11,26,0)</f>
        <v>Explicit</v>
      </c>
      <c r="H7" s="4" t="s">
        <v>16</v>
      </c>
      <c r="I7" s="16" t="s">
        <v>32</v>
      </c>
      <c r="J7" s="3" t="s">
        <v>33</v>
      </c>
      <c r="K7" s="9" t="s">
        <v>34</v>
      </c>
      <c r="L7" s="10" t="s">
        <v>35</v>
      </c>
      <c r="M7" s="7" t="s">
        <v>21</v>
      </c>
      <c r="N7" s="3" t="s">
        <v>36</v>
      </c>
      <c r="O7" s="45" t="s">
        <v>175</v>
      </c>
      <c r="P7" s="3" t="s">
        <v>37</v>
      </c>
      <c r="Q7" s="3" t="s">
        <v>38</v>
      </c>
    </row>
    <row r="8" spans="1:17" ht="51">
      <c r="A8" s="11" t="s">
        <v>39</v>
      </c>
      <c r="B8" s="11" t="s">
        <v>40</v>
      </c>
      <c r="C8" s="2" t="str">
        <f>VLOOKUP(B8,[1]Complete!$B$1:$F$11,3,0)</f>
        <v>Transport &amp; Logistics</v>
      </c>
      <c r="D8" s="2" t="str">
        <f>VLOOKUP(B8,[1]Complete!$B$1:$F$11,5,0)</f>
        <v>150–300</v>
      </c>
      <c r="E8" s="2" t="str">
        <f>VLOOKUP(B8,[1]Complete!$B$1:$F$11,2,0)</f>
        <v>Fremantle, WA</v>
      </c>
      <c r="F8" s="11" t="s">
        <v>41</v>
      </c>
      <c r="G8" s="43" t="str">
        <f>VLOOKUP(B8,[1]Complete!$B$1:$AA$11,26,0)</f>
        <v>Peer-led</v>
      </c>
      <c r="H8" s="12" t="s">
        <v>42</v>
      </c>
      <c r="I8" s="11" t="s">
        <v>17</v>
      </c>
      <c r="J8" s="11" t="s">
        <v>43</v>
      </c>
      <c r="K8" s="13" t="s">
        <v>44</v>
      </c>
      <c r="L8" s="14" t="s">
        <v>45</v>
      </c>
      <c r="M8" s="15" t="s">
        <v>28</v>
      </c>
      <c r="N8" s="11" t="s">
        <v>46</v>
      </c>
      <c r="O8" s="45" t="s">
        <v>176</v>
      </c>
      <c r="P8" s="11" t="s">
        <v>47</v>
      </c>
      <c r="Q8" s="11" t="s">
        <v>48</v>
      </c>
    </row>
    <row r="9" spans="1:17" ht="51">
      <c r="A9" s="16" t="s">
        <v>39</v>
      </c>
      <c r="B9" s="16" t="s">
        <v>40</v>
      </c>
      <c r="C9" s="2" t="str">
        <f>VLOOKUP(B9,[1]Complete!$B$1:$F$11,3,0)</f>
        <v>Transport &amp; Logistics</v>
      </c>
      <c r="D9" s="2" t="str">
        <f>VLOOKUP(B9,[1]Complete!$B$1:$F$11,5,0)</f>
        <v>150–300</v>
      </c>
      <c r="E9" s="2" t="str">
        <f>VLOOKUP(B9,[1]Complete!$B$1:$F$11,2,0)</f>
        <v>Fremantle, WA</v>
      </c>
      <c r="F9" s="16" t="s">
        <v>41</v>
      </c>
      <c r="G9" s="43" t="str">
        <f>VLOOKUP(B9,[1]Complete!$B$1:$AA$11,26,0)</f>
        <v>Peer-led</v>
      </c>
      <c r="H9" s="12" t="s">
        <v>42</v>
      </c>
      <c r="I9" s="16" t="s">
        <v>25</v>
      </c>
      <c r="J9" s="16" t="s">
        <v>33</v>
      </c>
      <c r="K9" s="13" t="s">
        <v>49</v>
      </c>
      <c r="L9" s="17" t="s">
        <v>35</v>
      </c>
      <c r="M9" s="18" t="s">
        <v>21</v>
      </c>
      <c r="N9" s="16" t="s">
        <v>50</v>
      </c>
      <c r="O9" s="45" t="s">
        <v>177</v>
      </c>
      <c r="P9" s="16" t="s">
        <v>51</v>
      </c>
      <c r="Q9" s="16" t="s">
        <v>38</v>
      </c>
    </row>
    <row r="10" spans="1:17" ht="51">
      <c r="A10" s="11" t="s">
        <v>52</v>
      </c>
      <c r="B10" s="11" t="s">
        <v>53</v>
      </c>
      <c r="C10" s="2" t="str">
        <f>VLOOKUP(B10,[1]Complete!$B$1:$F$11,3,0)</f>
        <v>Energy</v>
      </c>
      <c r="D10" s="2" t="str">
        <f>VLOOKUP(B10,[1]Complete!$B$1:$F$11,5,0)</f>
        <v>1000+</v>
      </c>
      <c r="E10" s="2" t="str">
        <f>VLOOKUP(B10,[1]Complete!$B$1:$F$11,2,0)</f>
        <v>Adelaide, SA</v>
      </c>
      <c r="F10" s="11" t="s">
        <v>54</v>
      </c>
      <c r="G10" s="43" t="str">
        <f>VLOOKUP(B10,[1]Complete!$B$1:$AA$11,26,0)</f>
        <v>Explicit</v>
      </c>
      <c r="H10" s="12" t="s">
        <v>42</v>
      </c>
      <c r="I10" s="11" t="s">
        <v>17</v>
      </c>
      <c r="J10" s="11" t="s">
        <v>18</v>
      </c>
      <c r="K10" s="19" t="s">
        <v>55</v>
      </c>
      <c r="L10" s="20" t="s">
        <v>20</v>
      </c>
      <c r="M10" s="15" t="s">
        <v>28</v>
      </c>
      <c r="N10" s="11" t="s">
        <v>56</v>
      </c>
      <c r="O10" s="45" t="s">
        <v>178</v>
      </c>
      <c r="P10" s="11" t="s">
        <v>57</v>
      </c>
      <c r="Q10" s="11" t="s">
        <v>24</v>
      </c>
    </row>
    <row r="11" spans="1:17" ht="51">
      <c r="A11" s="16" t="s">
        <v>52</v>
      </c>
      <c r="B11" s="16" t="s">
        <v>53</v>
      </c>
      <c r="C11" s="2" t="str">
        <f>VLOOKUP(B11,[1]Complete!$B$1:$F$11,3,0)</f>
        <v>Energy</v>
      </c>
      <c r="D11" s="2" t="str">
        <f>VLOOKUP(B11,[1]Complete!$B$1:$F$11,5,0)</f>
        <v>1000+</v>
      </c>
      <c r="E11" s="2" t="str">
        <f>VLOOKUP(B11,[1]Complete!$B$1:$F$11,2,0)</f>
        <v>Adelaide, SA</v>
      </c>
      <c r="F11" s="16" t="s">
        <v>54</v>
      </c>
      <c r="G11" s="43" t="str">
        <f>VLOOKUP(B11,[1]Complete!$B$1:$AA$11,26,0)</f>
        <v>Explicit</v>
      </c>
      <c r="H11" s="12" t="s">
        <v>42</v>
      </c>
      <c r="I11" s="16" t="s">
        <v>25</v>
      </c>
      <c r="J11" s="16" t="s">
        <v>58</v>
      </c>
      <c r="K11" s="13" t="s">
        <v>59</v>
      </c>
      <c r="L11" s="21" t="s">
        <v>60</v>
      </c>
      <c r="M11" s="18" t="s">
        <v>21</v>
      </c>
      <c r="N11" s="16" t="s">
        <v>61</v>
      </c>
      <c r="O11" s="45" t="s">
        <v>179</v>
      </c>
      <c r="P11" s="16" t="s">
        <v>62</v>
      </c>
      <c r="Q11" s="16" t="s">
        <v>63</v>
      </c>
    </row>
    <row r="12" spans="1:17" ht="38.25">
      <c r="A12" s="11" t="s">
        <v>52</v>
      </c>
      <c r="B12" s="11" t="s">
        <v>53</v>
      </c>
      <c r="C12" s="2" t="str">
        <f>VLOOKUP(B12,[1]Complete!$B$1:$F$11,3,0)</f>
        <v>Energy</v>
      </c>
      <c r="D12" s="2" t="str">
        <f>VLOOKUP(B12,[1]Complete!$B$1:$F$11,5,0)</f>
        <v>1000+</v>
      </c>
      <c r="E12" s="2" t="str">
        <f>VLOOKUP(B12,[1]Complete!$B$1:$F$11,2,0)</f>
        <v>Adelaide, SA</v>
      </c>
      <c r="F12" s="11" t="s">
        <v>54</v>
      </c>
      <c r="G12" s="43" t="str">
        <f>VLOOKUP(B12,[1]Complete!$B$1:$AA$11,26,0)</f>
        <v>Explicit</v>
      </c>
      <c r="H12" s="12" t="s">
        <v>42</v>
      </c>
      <c r="I12" s="11" t="s">
        <v>32</v>
      </c>
      <c r="J12" s="11" t="s">
        <v>64</v>
      </c>
      <c r="K12" s="13" t="s">
        <v>65</v>
      </c>
      <c r="L12" s="21" t="s">
        <v>60</v>
      </c>
      <c r="M12" s="18" t="s">
        <v>21</v>
      </c>
      <c r="N12" s="11" t="s">
        <v>66</v>
      </c>
      <c r="O12" s="45" t="s">
        <v>180</v>
      </c>
      <c r="P12" s="11" t="s">
        <v>67</v>
      </c>
      <c r="Q12" s="11" t="s">
        <v>68</v>
      </c>
    </row>
    <row r="13" spans="1:17" ht="38.25">
      <c r="A13" s="16" t="s">
        <v>69</v>
      </c>
      <c r="B13" s="16" t="s">
        <v>70</v>
      </c>
      <c r="C13" s="2" t="str">
        <f>VLOOKUP(B13,[1]Complete!$B$1:$F$11,3,0)</f>
        <v>Healthcare</v>
      </c>
      <c r="D13" s="2" t="str">
        <f>VLOOKUP(B13,[1]Complete!$B$1:$F$11,5,0)</f>
        <v>300–500</v>
      </c>
      <c r="E13" s="2" t="str">
        <f>VLOOKUP(B13,[1]Complete!$B$1:$F$11,2,0)</f>
        <v>Melbourne, VIC</v>
      </c>
      <c r="F13" s="16" t="s">
        <v>71</v>
      </c>
      <c r="G13" s="43" t="str">
        <f>VLOOKUP(B13,[1]Complete!$B$1:$AA$11,26,0)</f>
        <v>Explicit</v>
      </c>
      <c r="H13" s="12" t="s">
        <v>42</v>
      </c>
      <c r="I13" s="16" t="s">
        <v>17</v>
      </c>
      <c r="J13" s="16" t="s">
        <v>72</v>
      </c>
      <c r="K13" s="19" t="s">
        <v>73</v>
      </c>
      <c r="L13" s="15" t="s">
        <v>74</v>
      </c>
      <c r="M13" s="15" t="s">
        <v>28</v>
      </c>
      <c r="N13" s="16" t="s">
        <v>75</v>
      </c>
      <c r="O13" s="45" t="s">
        <v>181</v>
      </c>
      <c r="P13" s="16" t="s">
        <v>76</v>
      </c>
      <c r="Q13" s="16" t="s">
        <v>77</v>
      </c>
    </row>
    <row r="14" spans="1:17" ht="51">
      <c r="A14" s="11" t="s">
        <v>69</v>
      </c>
      <c r="B14" s="11" t="s">
        <v>70</v>
      </c>
      <c r="C14" s="2" t="str">
        <f>VLOOKUP(B14,[1]Complete!$B$1:$F$11,3,0)</f>
        <v>Healthcare</v>
      </c>
      <c r="D14" s="2" t="str">
        <f>VLOOKUP(B14,[1]Complete!$B$1:$F$11,5,0)</f>
        <v>300–500</v>
      </c>
      <c r="E14" s="2" t="str">
        <f>VLOOKUP(B14,[1]Complete!$B$1:$F$11,2,0)</f>
        <v>Melbourne, VIC</v>
      </c>
      <c r="F14" s="11" t="s">
        <v>71</v>
      </c>
      <c r="G14" s="43" t="str">
        <f>VLOOKUP(B14,[1]Complete!$B$1:$AA$11,26,0)</f>
        <v>Explicit</v>
      </c>
      <c r="H14" s="12" t="s">
        <v>42</v>
      </c>
      <c r="I14" s="11" t="s">
        <v>25</v>
      </c>
      <c r="J14" s="11" t="s">
        <v>78</v>
      </c>
      <c r="K14" s="13" t="s">
        <v>79</v>
      </c>
      <c r="L14" s="18" t="s">
        <v>80</v>
      </c>
      <c r="M14" s="18" t="s">
        <v>21</v>
      </c>
      <c r="N14" s="11" t="s">
        <v>81</v>
      </c>
      <c r="O14" s="45" t="s">
        <v>182</v>
      </c>
      <c r="P14" s="11" t="s">
        <v>82</v>
      </c>
      <c r="Q14" s="11" t="s">
        <v>83</v>
      </c>
    </row>
    <row r="15" spans="1:17" ht="38.25">
      <c r="A15" s="16" t="s">
        <v>84</v>
      </c>
      <c r="B15" s="16" t="s">
        <v>85</v>
      </c>
      <c r="C15" s="2" t="str">
        <f>VLOOKUP(B15,[1]Complete!$B$1:$F$11,3,0)</f>
        <v>Agriculture</v>
      </c>
      <c r="D15" s="2" t="str">
        <f>VLOOKUP(B15,[1]Complete!$B$1:$F$11,5,0)</f>
        <v>50–150</v>
      </c>
      <c r="E15" s="2" t="str">
        <f>VLOOKUP(B15,[1]Complete!$B$1:$F$11,2,0)</f>
        <v>Toowoomba, QLD</v>
      </c>
      <c r="F15" s="16" t="s">
        <v>86</v>
      </c>
      <c r="G15" s="43" t="str">
        <f>VLOOKUP(B15,[1]Complete!$B$1:$AA$11,26,0)</f>
        <v>Industry-led</v>
      </c>
      <c r="H15" s="22" t="s">
        <v>87</v>
      </c>
      <c r="I15" s="16" t="s">
        <v>17</v>
      </c>
      <c r="J15" s="16" t="s">
        <v>88</v>
      </c>
      <c r="K15" s="23" t="s">
        <v>89</v>
      </c>
      <c r="L15" s="20" t="s">
        <v>20</v>
      </c>
      <c r="M15" s="15" t="s">
        <v>28</v>
      </c>
      <c r="N15" s="16" t="s">
        <v>90</v>
      </c>
      <c r="O15" s="45" t="s">
        <v>183</v>
      </c>
      <c r="P15" s="16" t="s">
        <v>91</v>
      </c>
      <c r="Q15" s="16" t="s">
        <v>92</v>
      </c>
    </row>
    <row r="16" spans="1:17" ht="38.25">
      <c r="A16" s="11" t="s">
        <v>93</v>
      </c>
      <c r="B16" s="11" t="s">
        <v>94</v>
      </c>
      <c r="C16" s="2" t="str">
        <f>VLOOKUP(B16,[1]Complete!$B$1:$F$11,3,0)</f>
        <v>Manufacturing</v>
      </c>
      <c r="D16" s="2" t="str">
        <f>VLOOKUP(B16,[1]Complete!$B$1:$F$11,5,0)</f>
        <v>1000+</v>
      </c>
      <c r="E16" s="2" t="str">
        <f>VLOOKUP(B16,[1]Complete!$B$1:$F$11,2,0)</f>
        <v>Geelong, VIC</v>
      </c>
      <c r="F16" s="11" t="s">
        <v>95</v>
      </c>
      <c r="G16" s="43" t="str">
        <f>VLOOKUP(B16,[1]Complete!$B$1:$AA$11,26,0)</f>
        <v>Explicit</v>
      </c>
      <c r="H16" s="24" t="s">
        <v>16</v>
      </c>
      <c r="I16" s="11" t="s">
        <v>17</v>
      </c>
      <c r="J16" s="11" t="s">
        <v>96</v>
      </c>
      <c r="K16" s="19" t="s">
        <v>97</v>
      </c>
      <c r="L16" s="20" t="s">
        <v>20</v>
      </c>
      <c r="M16" s="15" t="s">
        <v>28</v>
      </c>
      <c r="N16" s="11" t="s">
        <v>98</v>
      </c>
      <c r="O16" s="45" t="s">
        <v>184</v>
      </c>
      <c r="P16" s="11" t="s">
        <v>99</v>
      </c>
      <c r="Q16" s="11" t="s">
        <v>100</v>
      </c>
    </row>
    <row r="17" spans="1:17" ht="38.25">
      <c r="A17" s="16" t="s">
        <v>93</v>
      </c>
      <c r="B17" s="16" t="s">
        <v>94</v>
      </c>
      <c r="C17" s="2" t="str">
        <f>VLOOKUP(B17,[1]Complete!$B$1:$F$11,3,0)</f>
        <v>Manufacturing</v>
      </c>
      <c r="D17" s="2" t="str">
        <f>VLOOKUP(B17,[1]Complete!$B$1:$F$11,5,0)</f>
        <v>1000+</v>
      </c>
      <c r="E17" s="2" t="str">
        <f>VLOOKUP(B17,[1]Complete!$B$1:$F$11,2,0)</f>
        <v>Geelong, VIC</v>
      </c>
      <c r="F17" s="16" t="s">
        <v>95</v>
      </c>
      <c r="G17" s="43" t="str">
        <f>VLOOKUP(B17,[1]Complete!$B$1:$AA$11,26,0)</f>
        <v>Explicit</v>
      </c>
      <c r="H17" s="24" t="s">
        <v>16</v>
      </c>
      <c r="I17" s="16" t="s">
        <v>25</v>
      </c>
      <c r="J17" s="16" t="s">
        <v>101</v>
      </c>
      <c r="K17" s="19" t="s">
        <v>102</v>
      </c>
      <c r="L17" s="18" t="s">
        <v>80</v>
      </c>
      <c r="M17" s="18" t="s">
        <v>21</v>
      </c>
      <c r="N17" s="16" t="s">
        <v>103</v>
      </c>
      <c r="O17" s="45" t="s">
        <v>185</v>
      </c>
      <c r="P17" s="16" t="s">
        <v>104</v>
      </c>
      <c r="Q17" s="16" t="s">
        <v>105</v>
      </c>
    </row>
    <row r="18" spans="1:17" ht="38.25">
      <c r="A18" s="11" t="s">
        <v>93</v>
      </c>
      <c r="B18" s="11" t="s">
        <v>94</v>
      </c>
      <c r="C18" s="2" t="str">
        <f>VLOOKUP(B18,[1]Complete!$B$1:$F$11,3,0)</f>
        <v>Manufacturing</v>
      </c>
      <c r="D18" s="2" t="str">
        <f>VLOOKUP(B18,[1]Complete!$B$1:$F$11,5,0)</f>
        <v>1000+</v>
      </c>
      <c r="E18" s="2" t="str">
        <f>VLOOKUP(B18,[1]Complete!$B$1:$F$11,2,0)</f>
        <v>Geelong, VIC</v>
      </c>
      <c r="F18" s="11" t="s">
        <v>95</v>
      </c>
      <c r="G18" s="43" t="str">
        <f>VLOOKUP(B18,[1]Complete!$B$1:$AA$11,26,0)</f>
        <v>Explicit</v>
      </c>
      <c r="H18" s="24" t="s">
        <v>16</v>
      </c>
      <c r="I18" s="11" t="s">
        <v>32</v>
      </c>
      <c r="J18" s="11" t="s">
        <v>64</v>
      </c>
      <c r="K18" s="13" t="s">
        <v>106</v>
      </c>
      <c r="L18" s="21" t="s">
        <v>60</v>
      </c>
      <c r="M18" s="18" t="s">
        <v>21</v>
      </c>
      <c r="N18" s="11" t="s">
        <v>107</v>
      </c>
      <c r="O18" s="45" t="s">
        <v>186</v>
      </c>
      <c r="P18" s="11" t="s">
        <v>108</v>
      </c>
      <c r="Q18" s="11" t="s">
        <v>68</v>
      </c>
    </row>
    <row r="19" spans="1:17" ht="38.25">
      <c r="A19" s="16" t="s">
        <v>109</v>
      </c>
      <c r="B19" s="16" t="s">
        <v>110</v>
      </c>
      <c r="C19" s="2" t="str">
        <f>VLOOKUP(B19,[1]Complete!$B$1:$F$11,3,0)</f>
        <v>Construction</v>
      </c>
      <c r="D19" s="2" t="str">
        <f>VLOOKUP(B19,[1]Complete!$B$1:$F$11,5,0)</f>
        <v>150–300</v>
      </c>
      <c r="E19" s="2" t="str">
        <f>VLOOKUP(B19,[1]Complete!$B$1:$F$11,2,0)</f>
        <v>Gold Coast, QLD</v>
      </c>
      <c r="F19" s="16" t="s">
        <v>15</v>
      </c>
      <c r="G19" s="43" t="str">
        <f>VLOOKUP(B19,[1]Complete!$B$1:$AA$11,26,0)</f>
        <v>Explicit</v>
      </c>
      <c r="H19" s="12" t="s">
        <v>42</v>
      </c>
      <c r="I19" s="16" t="s">
        <v>17</v>
      </c>
      <c r="J19" s="16" t="s">
        <v>18</v>
      </c>
      <c r="K19" s="19" t="s">
        <v>111</v>
      </c>
      <c r="L19" s="20" t="s">
        <v>20</v>
      </c>
      <c r="M19" s="15" t="s">
        <v>28</v>
      </c>
      <c r="N19" s="16" t="s">
        <v>112</v>
      </c>
      <c r="O19" s="45" t="s">
        <v>187</v>
      </c>
      <c r="P19" s="16" t="s">
        <v>113</v>
      </c>
      <c r="Q19" s="16" t="s">
        <v>114</v>
      </c>
    </row>
    <row r="20" spans="1:17" ht="38.25">
      <c r="A20" s="11" t="s">
        <v>109</v>
      </c>
      <c r="B20" s="11" t="s">
        <v>110</v>
      </c>
      <c r="C20" s="2" t="str">
        <f>VLOOKUP(B20,[1]Complete!$B$1:$F$11,3,0)</f>
        <v>Construction</v>
      </c>
      <c r="D20" s="2" t="str">
        <f>VLOOKUP(B20,[1]Complete!$B$1:$F$11,5,0)</f>
        <v>150–300</v>
      </c>
      <c r="E20" s="2" t="str">
        <f>VLOOKUP(B20,[1]Complete!$B$1:$F$11,2,0)</f>
        <v>Gold Coast, QLD</v>
      </c>
      <c r="F20" s="11" t="s">
        <v>15</v>
      </c>
      <c r="G20" s="43" t="str">
        <f>VLOOKUP(B20,[1]Complete!$B$1:$AA$11,26,0)</f>
        <v>Explicit</v>
      </c>
      <c r="H20" s="12" t="s">
        <v>42</v>
      </c>
      <c r="I20" s="11" t="s">
        <v>25</v>
      </c>
      <c r="J20" s="11" t="s">
        <v>33</v>
      </c>
      <c r="K20" s="13" t="s">
        <v>115</v>
      </c>
      <c r="L20" s="17" t="s">
        <v>35</v>
      </c>
      <c r="M20" s="18" t="s">
        <v>21</v>
      </c>
      <c r="N20" s="11" t="s">
        <v>116</v>
      </c>
      <c r="O20" s="45" t="s">
        <v>188</v>
      </c>
      <c r="P20" s="11" t="s">
        <v>117</v>
      </c>
      <c r="Q20" s="11" t="s">
        <v>38</v>
      </c>
    </row>
    <row r="21" spans="1:17" ht="38.25">
      <c r="A21" s="16" t="s">
        <v>118</v>
      </c>
      <c r="B21" s="16" t="s">
        <v>119</v>
      </c>
      <c r="C21" s="2" t="str">
        <f>VLOOKUP(B21,[1]Complete!$B$1:$F$11,3,0)</f>
        <v>Financial Services</v>
      </c>
      <c r="D21" s="2" t="str">
        <f>VLOOKUP(B21,[1]Complete!$B$1:$F$11,5,0)</f>
        <v>50–150</v>
      </c>
      <c r="E21" s="2" t="str">
        <f>VLOOKUP(B21,[1]Complete!$B$1:$F$11,2,0)</f>
        <v>Sydney, NSW</v>
      </c>
      <c r="F21" s="16" t="s">
        <v>120</v>
      </c>
      <c r="G21" s="43" t="str">
        <f>VLOOKUP(B21,[1]Complete!$B$1:$AA$11,26,0)</f>
        <v>Peer-led</v>
      </c>
      <c r="H21" s="12" t="s">
        <v>42</v>
      </c>
      <c r="I21" s="16" t="s">
        <v>17</v>
      </c>
      <c r="J21" s="16" t="s">
        <v>43</v>
      </c>
      <c r="K21" s="13" t="s">
        <v>121</v>
      </c>
      <c r="L21" s="14" t="s">
        <v>45</v>
      </c>
      <c r="M21" s="15" t="s">
        <v>28</v>
      </c>
      <c r="N21" s="16" t="s">
        <v>122</v>
      </c>
      <c r="O21" s="45" t="s">
        <v>189</v>
      </c>
      <c r="P21" s="16" t="s">
        <v>123</v>
      </c>
      <c r="Q21" s="16" t="s">
        <v>48</v>
      </c>
    </row>
    <row r="22" spans="1:17" ht="38.25">
      <c r="A22" s="11" t="s">
        <v>118</v>
      </c>
      <c r="B22" s="11" t="s">
        <v>119</v>
      </c>
      <c r="C22" s="2" t="str">
        <f>VLOOKUP(B22,[1]Complete!$B$1:$F$11,3,0)</f>
        <v>Financial Services</v>
      </c>
      <c r="D22" s="2" t="str">
        <f>VLOOKUP(B22,[1]Complete!$B$1:$F$11,5,0)</f>
        <v>50–150</v>
      </c>
      <c r="E22" s="2" t="str">
        <f>VLOOKUP(B22,[1]Complete!$B$1:$F$11,2,0)</f>
        <v>Sydney, NSW</v>
      </c>
      <c r="F22" s="11" t="s">
        <v>120</v>
      </c>
      <c r="G22" s="43" t="str">
        <f>VLOOKUP(B22,[1]Complete!$B$1:$AA$11,26,0)</f>
        <v>Peer-led</v>
      </c>
      <c r="H22" s="12" t="s">
        <v>42</v>
      </c>
      <c r="I22" s="11" t="s">
        <v>25</v>
      </c>
      <c r="J22" s="11" t="s">
        <v>72</v>
      </c>
      <c r="K22" s="13" t="s">
        <v>124</v>
      </c>
      <c r="L22" s="15" t="s">
        <v>74</v>
      </c>
      <c r="M22" s="15" t="s">
        <v>28</v>
      </c>
      <c r="N22" s="11" t="s">
        <v>125</v>
      </c>
      <c r="O22" s="45" t="s">
        <v>190</v>
      </c>
      <c r="P22" s="11" t="s">
        <v>126</v>
      </c>
      <c r="Q22" s="11" t="s">
        <v>127</v>
      </c>
    </row>
    <row r="23" spans="1:17" ht="38.25">
      <c r="A23" s="2" t="s">
        <v>170</v>
      </c>
      <c r="B23" s="2" t="s">
        <v>128</v>
      </c>
      <c r="C23" s="2" t="str">
        <f>VLOOKUP(B23,[1]Complete!$B$1:$F$11,3,0)</f>
        <v>Mining</v>
      </c>
      <c r="D23" s="2" t="str">
        <f>VLOOKUP(B23,[1]Complete!$B$1:$F$11,5,0)</f>
        <v>500–1000</v>
      </c>
      <c r="E23" s="2" t="str">
        <f>VLOOKUP(B23,[1]Complete!$B$1:$F$11,2,0)</f>
        <v>Perth, WA</v>
      </c>
      <c r="F23" s="3" t="s">
        <v>129</v>
      </c>
      <c r="G23" s="43" t="str">
        <f>VLOOKUP(B23,[1]Complete!$B$1:$AA$11,26,0)</f>
        <v>Explicit</v>
      </c>
      <c r="H23" s="4" t="s">
        <v>16</v>
      </c>
      <c r="I23" s="3" t="s">
        <v>17</v>
      </c>
      <c r="J23" s="3" t="s">
        <v>131</v>
      </c>
      <c r="K23" s="5" t="s">
        <v>130</v>
      </c>
      <c r="L23" s="10" t="s">
        <v>35</v>
      </c>
      <c r="M23" s="8" t="s">
        <v>28</v>
      </c>
      <c r="N23" s="3" t="s">
        <v>132</v>
      </c>
      <c r="O23" s="45" t="s">
        <v>191</v>
      </c>
      <c r="P23" s="3" t="s">
        <v>133</v>
      </c>
      <c r="Q23" s="3" t="s">
        <v>38</v>
      </c>
    </row>
    <row r="24" spans="1:17" ht="38.25">
      <c r="A24" s="2" t="s">
        <v>170</v>
      </c>
      <c r="B24" s="2" t="s">
        <v>128</v>
      </c>
      <c r="C24" s="2" t="str">
        <f>VLOOKUP(B24,[1]Complete!$B$1:$F$11,3,0)</f>
        <v>Mining</v>
      </c>
      <c r="D24" s="2" t="str">
        <f>VLOOKUP(B24,[1]Complete!$B$1:$F$11,5,0)</f>
        <v>500–1000</v>
      </c>
      <c r="E24" s="2" t="str">
        <f>VLOOKUP(B24,[1]Complete!$B$1:$F$11,2,0)</f>
        <v>Perth, WA</v>
      </c>
      <c r="F24" s="3" t="s">
        <v>129</v>
      </c>
      <c r="G24" s="43" t="str">
        <f>VLOOKUP(B24,[1]Complete!$B$1:$AA$11,26,0)</f>
        <v>Explicit</v>
      </c>
      <c r="H24" s="4" t="s">
        <v>16</v>
      </c>
      <c r="I24" s="3" t="s">
        <v>25</v>
      </c>
      <c r="J24" s="3" t="s">
        <v>78</v>
      </c>
      <c r="K24" s="9" t="s">
        <v>34</v>
      </c>
      <c r="L24" s="7" t="s">
        <v>80</v>
      </c>
      <c r="M24" s="7" t="s">
        <v>21</v>
      </c>
      <c r="N24" s="3" t="s">
        <v>134</v>
      </c>
      <c r="O24" s="45" t="s">
        <v>192</v>
      </c>
      <c r="P24" s="3" t="s">
        <v>135</v>
      </c>
      <c r="Q24" s="3" t="s">
        <v>136</v>
      </c>
    </row>
    <row r="25" spans="1:17" ht="38.25">
      <c r="A25" s="11" t="s">
        <v>137</v>
      </c>
      <c r="B25" s="11" t="s">
        <v>138</v>
      </c>
      <c r="C25" s="2" t="str">
        <f>VLOOKUP(B25,[1]Complete!$B$1:$F$11,3,0)</f>
        <v>Education</v>
      </c>
      <c r="D25" s="2" t="str">
        <f>VLOOKUP(B25,[1]Complete!$B$1:$F$11,5,0)</f>
        <v>&lt;50</v>
      </c>
      <c r="E25" s="2" t="str">
        <f>VLOOKUP(B25,[1]Complete!$B$1:$F$11,2,0)</f>
        <v>Parramatta, NSW</v>
      </c>
      <c r="F25" s="11" t="s">
        <v>139</v>
      </c>
      <c r="G25" s="43" t="str">
        <f>VLOOKUP(B25,[1]Complete!$B$1:$AA$11,26,0)</f>
        <v>Industry-led</v>
      </c>
      <c r="H25" s="22" t="s">
        <v>87</v>
      </c>
      <c r="I25" s="11" t="s">
        <v>17</v>
      </c>
      <c r="J25" s="11" t="s">
        <v>88</v>
      </c>
      <c r="K25" s="23" t="s">
        <v>140</v>
      </c>
      <c r="L25" s="20" t="s">
        <v>20</v>
      </c>
      <c r="M25" s="15" t="s">
        <v>28</v>
      </c>
      <c r="N25" s="11" t="s">
        <v>141</v>
      </c>
      <c r="O25" s="45" t="s">
        <v>193</v>
      </c>
      <c r="P25" s="11" t="s">
        <v>142</v>
      </c>
      <c r="Q25" s="11" t="s">
        <v>92</v>
      </c>
    </row>
    <row r="26" spans="1:17" ht="38.25">
      <c r="A26" s="16" t="s">
        <v>137</v>
      </c>
      <c r="B26" s="16" t="s">
        <v>138</v>
      </c>
      <c r="C26" s="2" t="str">
        <f>VLOOKUP(B26,[1]Complete!$B$1:$F$11,3,0)</f>
        <v>Education</v>
      </c>
      <c r="D26" s="2" t="str">
        <f>VLOOKUP(B26,[1]Complete!$B$1:$F$11,5,0)</f>
        <v>&lt;50</v>
      </c>
      <c r="E26" s="2" t="str">
        <f>VLOOKUP(B26,[1]Complete!$B$1:$F$11,2,0)</f>
        <v>Parramatta, NSW</v>
      </c>
      <c r="F26" s="16" t="s">
        <v>139</v>
      </c>
      <c r="G26" s="43" t="str">
        <f>VLOOKUP(B26,[1]Complete!$B$1:$AA$11,26,0)</f>
        <v>Industry-led</v>
      </c>
      <c r="H26" s="22" t="s">
        <v>87</v>
      </c>
      <c r="I26" s="16" t="s">
        <v>25</v>
      </c>
      <c r="J26" s="16" t="s">
        <v>72</v>
      </c>
      <c r="K26" s="23" t="s">
        <v>143</v>
      </c>
      <c r="L26" s="15" t="s">
        <v>74</v>
      </c>
      <c r="M26" s="18" t="s">
        <v>21</v>
      </c>
      <c r="N26" s="16" t="s">
        <v>144</v>
      </c>
      <c r="O26" s="45" t="s">
        <v>194</v>
      </c>
      <c r="P26" s="16" t="s">
        <v>145</v>
      </c>
      <c r="Q26" s="16" t="s">
        <v>146</v>
      </c>
    </row>
  </sheetData>
  <mergeCells count="2">
    <mergeCell ref="A1:K1"/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D34" sqref="D34"/>
    </sheetView>
  </sheetViews>
  <sheetFormatPr defaultRowHeight="15"/>
  <cols>
    <col min="1" max="1" width="30" customWidth="1"/>
    <col min="2" max="2" width="12" customWidth="1"/>
    <col min="3" max="3" width="14" customWidth="1"/>
    <col min="4" max="5" width="22" customWidth="1"/>
  </cols>
  <sheetData>
    <row r="1" spans="1:6" ht="32.1" customHeight="1">
      <c r="A1" s="46" t="s">
        <v>147</v>
      </c>
      <c r="B1" s="47"/>
      <c r="C1" s="47"/>
      <c r="D1" s="47"/>
      <c r="E1" s="47"/>
      <c r="F1" s="47"/>
    </row>
    <row r="3" spans="1:6" ht="27.75">
      <c r="A3" s="25" t="s">
        <v>148</v>
      </c>
      <c r="B3" s="26" t="s">
        <v>149</v>
      </c>
      <c r="C3" s="27" t="s">
        <v>150</v>
      </c>
      <c r="D3" s="28" t="s">
        <v>151</v>
      </c>
      <c r="E3" s="29" t="s">
        <v>152</v>
      </c>
    </row>
    <row r="4" spans="1:6" ht="36">
      <c r="A4" s="30" t="s">
        <v>153</v>
      </c>
      <c r="B4" s="31" t="s">
        <v>154</v>
      </c>
      <c r="C4" s="32" t="s">
        <v>155</v>
      </c>
      <c r="D4" s="33" t="s">
        <v>156</v>
      </c>
      <c r="E4" s="34" t="s">
        <v>157</v>
      </c>
    </row>
    <row r="6" spans="1:6" ht="15.75">
      <c r="A6" s="35" t="s">
        <v>158</v>
      </c>
    </row>
    <row r="7" spans="1:6">
      <c r="A7" s="1" t="s">
        <v>9</v>
      </c>
      <c r="B7" s="1" t="s">
        <v>159</v>
      </c>
      <c r="C7" s="1" t="s">
        <v>160</v>
      </c>
    </row>
    <row r="8" spans="1:6">
      <c r="A8" s="36" t="s">
        <v>20</v>
      </c>
      <c r="B8" s="37">
        <v>8</v>
      </c>
      <c r="C8" s="37" t="s">
        <v>161</v>
      </c>
    </row>
    <row r="9" spans="1:6">
      <c r="A9" s="38" t="s">
        <v>35</v>
      </c>
      <c r="B9" s="37">
        <v>4</v>
      </c>
      <c r="C9" s="37" t="s">
        <v>162</v>
      </c>
    </row>
    <row r="10" spans="1:6">
      <c r="A10" s="39" t="s">
        <v>60</v>
      </c>
      <c r="B10" s="37">
        <v>3</v>
      </c>
      <c r="C10" s="37" t="s">
        <v>163</v>
      </c>
    </row>
    <row r="11" spans="1:6">
      <c r="A11" s="40" t="s">
        <v>74</v>
      </c>
      <c r="B11" s="37">
        <v>3</v>
      </c>
      <c r="C11" s="37" t="s">
        <v>164</v>
      </c>
    </row>
    <row r="12" spans="1:6">
      <c r="A12" s="41" t="s">
        <v>80</v>
      </c>
      <c r="B12" s="37">
        <v>3</v>
      </c>
      <c r="C12" s="37" t="s">
        <v>165</v>
      </c>
    </row>
    <row r="13" spans="1:6">
      <c r="A13" s="42" t="s">
        <v>45</v>
      </c>
      <c r="B13" s="37">
        <v>2</v>
      </c>
      <c r="C13" s="37" t="s">
        <v>166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Recommendations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Kaur, Sumandeep</cp:lastModifiedBy>
  <dcterms:created xsi:type="dcterms:W3CDTF">2026-02-03T12:01:28Z</dcterms:created>
  <dcterms:modified xsi:type="dcterms:W3CDTF">2026-02-09T14:02:04Z</dcterms:modified>
</cp:coreProperties>
</file>